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cag\Desktop\Portfolio\"/>
    </mc:Choice>
  </mc:AlternateContent>
  <xr:revisionPtr revIDLastSave="0" documentId="13_ncr:1_{ABCAAF36-C500-4AB2-A4C6-D9A10063C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 Data" sheetId="2" r:id="rId1"/>
    <sheet name="Defini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2" l="1"/>
  <c r="S11" i="2"/>
  <c r="AB11" i="2" s="1"/>
  <c r="R11" i="2"/>
  <c r="T10" i="2"/>
  <c r="S10" i="2"/>
  <c r="R10" i="2"/>
  <c r="T9" i="2"/>
  <c r="AB9" i="2" s="1"/>
  <c r="S9" i="2"/>
  <c r="R9" i="2"/>
  <c r="T8" i="2"/>
  <c r="S8" i="2"/>
  <c r="AB8" i="2" s="1"/>
  <c r="R8" i="2"/>
  <c r="T7" i="2"/>
  <c r="S7" i="2"/>
  <c r="R7" i="2"/>
  <c r="T6" i="2"/>
  <c r="S6" i="2"/>
  <c r="AB6" i="2" s="1"/>
  <c r="R6" i="2"/>
  <c r="T5" i="2"/>
  <c r="S5" i="2"/>
  <c r="AB5" i="2" s="1"/>
  <c r="R5" i="2"/>
  <c r="T4" i="2"/>
  <c r="S4" i="2"/>
  <c r="AB4" i="2" s="1"/>
  <c r="R4" i="2"/>
  <c r="T3" i="2"/>
  <c r="S3" i="2"/>
  <c r="R3" i="2"/>
  <c r="T2" i="2"/>
  <c r="S2" i="2"/>
  <c r="R2" i="2"/>
  <c r="AB3" i="2" l="1"/>
  <c r="AB10" i="2"/>
  <c r="AB7" i="2"/>
  <c r="AB2" i="2"/>
</calcChain>
</file>

<file path=xl/sharedStrings.xml><?xml version="1.0" encoding="utf-8"?>
<sst xmlns="http://schemas.openxmlformats.org/spreadsheetml/2006/main" count="147" uniqueCount="116">
  <si>
    <t>Classification</t>
  </si>
  <si>
    <t>Clear positive</t>
  </si>
  <si>
    <t>Team-positive, personally costly</t>
  </si>
  <si>
    <t>Personal gain, poor team conversion</t>
  </si>
  <si>
    <t>False positive</t>
  </si>
  <si>
    <t>Clear negative</t>
  </si>
  <si>
    <t>Neutral or inconclusive</t>
  </si>
  <si>
    <t>Case</t>
  </si>
  <si>
    <t>IVG</t>
  </si>
  <si>
    <t>Scenario</t>
  </si>
  <si>
    <t>Roam Type</t>
  </si>
  <si>
    <t>Wave State at T₀</t>
  </si>
  <si>
    <t>Team Diff T₀</t>
  </si>
  <si>
    <t>Team Diff T₁</t>
  </si>
  <si>
    <t>Team Diff T₃₀</t>
  </si>
  <si>
    <t>Team Diff T₆₀</t>
  </si>
  <si>
    <t>Team Diff T₉₀</t>
  </si>
  <si>
    <t>Top Diff T₀</t>
  </si>
  <si>
    <t>Top Diff T₁</t>
  </si>
  <si>
    <t>Top Diff T₃₀</t>
  </si>
  <si>
    <t>Top Diff T₆₀</t>
  </si>
  <si>
    <t>Top Diff T₉₀</t>
  </si>
  <si>
    <t>Kill Gold</t>
  </si>
  <si>
    <t>Assist Gold</t>
  </si>
  <si>
    <t>Objective Gold</t>
  </si>
  <si>
    <t>TeamSwing T₉₀</t>
  </si>
  <si>
    <t>TopSwing T₉₀</t>
  </si>
  <si>
    <t>CS Diff T₀</t>
  </si>
  <si>
    <t>CS Diff T₉₀</t>
  </si>
  <si>
    <t>Level T₀</t>
  </si>
  <si>
    <t>Level T₉₀</t>
  </si>
  <si>
    <t>Plates Lost</t>
  </si>
  <si>
    <t>Teleport Used</t>
  </si>
  <si>
    <t>Strategic Outcome</t>
  </si>
  <si>
    <t>Clear Positive Roam</t>
  </si>
  <si>
    <t>River support</t>
  </si>
  <si>
    <t>Two-wave crash</t>
  </si>
  <si>
    <t>Equal</t>
  </si>
  <si>
    <t>No</t>
  </si>
  <si>
    <t>Wave preparation prevents meaningful punishment; lane control is preserved.</t>
  </si>
  <si>
    <t>Team-Positive, Personally Costly</t>
  </si>
  <si>
    <t>Mid-lane roam</t>
  </si>
  <si>
    <t>Standard crash</t>
  </si>
  <si>
    <t>+1</t>
  </si>
  <si>
    <t>Team gains pressure and gold, but the initial top-lane lead is surrendered.</t>
  </si>
  <si>
    <t>False-Positive Roam</t>
  </si>
  <si>
    <t>Enemy-jungle invade</t>
  </si>
  <si>
    <t>Small crash</t>
  </si>
  <si>
    <t>-1</t>
  </si>
  <si>
    <t>The play lasts too long; two waves, experience, and lane control are lost.</t>
  </si>
  <si>
    <t>Neutral or Inconclusive</t>
  </si>
  <si>
    <t>River response</t>
  </si>
  <si>
    <t>Full crash</t>
  </si>
  <si>
    <t>Enemy Flash is forced, but the measurable economic result remains small.</t>
  </si>
  <si>
    <t>Personal Gain, Poor Team Conversion</t>
  </si>
  <si>
    <t>River fight</t>
  </si>
  <si>
    <t>Fast push</t>
  </si>
  <si>
    <t>The top laner gains personally, but allied deaths turn the wider exchange negative.</t>
  </si>
  <si>
    <t>Clear Negative Roam</t>
  </si>
  <si>
    <t>Mid-lane attempt</t>
  </si>
  <si>
    <t>Slow push away</t>
  </si>
  <si>
    <t>Yes</t>
  </si>
  <si>
    <t>The play fails, the player dies, the wave is frozen, and Teleport is spent defensively.</t>
  </si>
  <si>
    <t>Sacrificial Teleport Play</t>
  </si>
  <si>
    <t>Bottom-lane Teleport</t>
  </si>
  <si>
    <t>Pushed wave</t>
  </si>
  <si>
    <t>The team reverses a losing position, but the top laner sacrifices lane stability and Teleport.</t>
  </si>
  <si>
    <t>Successful Comeback Roam</t>
  </si>
  <si>
    <t>River pick</t>
  </si>
  <si>
    <t>Enemy recall window</t>
  </si>
  <si>
    <t>The roam converts an enemy recall window into a kill and a favorable purchase timing.</t>
  </si>
  <si>
    <t>Teleport False Positive</t>
  </si>
  <si>
    <t>Large enemy wave incoming</t>
  </si>
  <si>
    <t>The kill is visible, but the top-lane wave, plates, and Teleport tempo are lost.</t>
  </si>
  <si>
    <t>Positive Value Without Immediate Gold</t>
  </si>
  <si>
    <t>Objective protection</t>
  </si>
  <si>
    <t>No takedown occurs, but the objective is secured and the opponent cannot punish top lane.</t>
  </si>
  <si>
    <t>T₃₀</t>
  </si>
  <si>
    <t>T₆₀</t>
  </si>
  <si>
    <t>Interpretation</t>
  </si>
  <si>
    <t>The Scoreboard Lies — Variable Definitions &amp; Method Notes</t>
  </si>
  <si>
    <t>Variable</t>
  </si>
  <si>
    <t>Definition</t>
  </si>
  <si>
    <t>Use in the study</t>
  </si>
  <si>
    <t>T₀</t>
  </si>
  <si>
    <t>The moment the top laner leaves lane.</t>
  </si>
  <si>
    <t>Baseline for all comparisons.</t>
  </si>
  <si>
    <t>T₁</t>
  </si>
  <si>
    <t>The moment the cross-map play ends.</t>
  </si>
  <si>
    <t>Captures the immediate visible result.</t>
  </si>
  <si>
    <t>30 seconds after the play.</t>
  </si>
  <si>
    <t>Shows early conversion and recall decisions.</t>
  </si>
  <si>
    <t>60 seconds after the play.</t>
  </si>
  <si>
    <t>Shows return timing and opponent conversion.</t>
  </si>
  <si>
    <t>T₉₀</t>
  </si>
  <si>
    <t>90 seconds after the play.</t>
  </si>
  <si>
    <t>Primary delayed-outcome checkpoint.</t>
  </si>
  <si>
    <t>Kill Gold + Assist Gold + Direct Objective Gold.</t>
  </si>
  <si>
    <t>Measures immediate visible gold created by the play.</t>
  </si>
  <si>
    <t>(Team Diff T₉₀) − (Team Diff T₀).</t>
  </si>
  <si>
    <t>Measures change in the team's relative gold position.</t>
  </si>
  <si>
    <t>(Top Diff T₉₀) − (Top Diff T₀).</t>
  </si>
  <si>
    <t>Measures change in the top-lane matchup's relative gold position.</t>
  </si>
  <si>
    <t>Economic pattern</t>
  </si>
  <si>
    <t>TeamSwing &gt; 0 and TopSwing &gt; 0</t>
  </si>
  <si>
    <t>Both the team and top-lane state improve.</t>
  </si>
  <si>
    <t>TeamSwing &gt; 0 and TopSwing &lt; 0</t>
  </si>
  <si>
    <t>The team benefits while the top laner pays the cost.</t>
  </si>
  <si>
    <t>TeamSwing &lt; 0 and TopSwing &gt; 0</t>
  </si>
  <si>
    <t>The player gains personally, but the team loses value.</t>
  </si>
  <si>
    <t>IVG &gt; 0, TeamSwing &lt; 0 and TopSwing &lt; 0</t>
  </si>
  <si>
    <t>Visible reward hides a delayed negative result.</t>
  </si>
  <si>
    <t>IVG = 0, TeamSwing &lt; 0 and TopSwing &lt; 0</t>
  </si>
  <si>
    <t>The play fails immediately and creates further losses.</t>
  </si>
  <si>
    <t>Small or mixed changes</t>
  </si>
  <si>
    <t>The observation window does not support a confident conclusion.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</si>
</sst>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g&quot;;\-0&quot;g&quot;;0&quot;g&quot;"/>
  </numFmts>
  <fonts count="4">
    <font>
      <sz val="11"/>
      <name val="Carlito"/>
    </font>
    <font>
      <b/>
      <sz val="11"/>
      <color rgb="FFFFFFFF"/>
      <name val="Carlito"/>
    </font>
    <font>
      <sz val="10"/>
      <color rgb="FF172033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AFBF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164" fontId="2" fillId="0" borderId="7" xfId="0" applyNumberFormat="1" applyFont="1" applyBorder="1" applyAlignment="1">
      <alignment vertical="top" wrapText="1"/>
    </xf>
    <xf numFmtId="1" fontId="2" fillId="0" borderId="7" xfId="0" applyNumberFormat="1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" fontId="2" fillId="3" borderId="0" xfId="0" applyNumberFormat="1" applyFont="1" applyFill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color rgb="FF5B6472"/>
      </font>
      <fill>
        <patternFill patternType="solid">
          <bgColor rgb="FFF3F4F6"/>
        </patternFill>
      </fill>
    </dxf>
    <dxf>
      <font>
        <b/>
        <color rgb="FF5D2E8C"/>
      </font>
      <fill>
        <patternFill patternType="solid">
          <bgColor rgb="FFECE5F7"/>
        </patternFill>
      </fill>
    </dxf>
    <dxf>
      <font>
        <b/>
        <color rgb="FF9A4A0E"/>
      </font>
      <fill>
        <patternFill patternType="solid">
          <bgColor rgb="FFFCE8D5"/>
        </patternFill>
      </fill>
    </dxf>
    <dxf>
      <font>
        <b/>
        <color rgb="FF9E1C1C"/>
      </font>
      <fill>
        <patternFill patternType="solid">
          <bgColor rgb="FFFBE3E3"/>
        </patternFill>
      </fill>
    </dxf>
    <dxf>
      <font>
        <b/>
        <color rgb="FF9E1C1C"/>
      </font>
      <fill>
        <patternFill patternType="solid">
          <bgColor rgb="FFFBE3E3"/>
        </patternFill>
      </fill>
    </dxf>
    <dxf>
      <font>
        <b/>
        <color rgb="FF176B2C"/>
      </font>
      <fill>
        <patternFill patternType="solid">
          <bgColor rgb="FFDFF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ulatedRoamCases" displayName="SimulatedRoamCases" ref="A1:AB11">
  <tableColumns count="28">
    <tableColumn id="1" xr3:uid="{00000000-0010-0000-0000-000001000000}" name="Case"/>
    <tableColumn id="2" xr3:uid="{00000000-0010-0000-0000-000002000000}" name="Scenario"/>
    <tableColumn id="3" xr3:uid="{00000000-0010-0000-0000-000003000000}" name="Roam Type"/>
    <tableColumn id="4" xr3:uid="{00000000-0010-0000-0000-000004000000}" name="Wave State at T₀"/>
    <tableColumn id="5" xr3:uid="{00000000-0010-0000-0000-000005000000}" name="Team Diff T₀"/>
    <tableColumn id="6" xr3:uid="{00000000-0010-0000-0000-000006000000}" name="Team Diff T₁"/>
    <tableColumn id="7" xr3:uid="{00000000-0010-0000-0000-000007000000}" name="Team Diff T₃₀"/>
    <tableColumn id="8" xr3:uid="{00000000-0010-0000-0000-000008000000}" name="Team Diff T₆₀"/>
    <tableColumn id="9" xr3:uid="{00000000-0010-0000-0000-000009000000}" name="Team Diff T₉₀"/>
    <tableColumn id="10" xr3:uid="{00000000-0010-0000-0000-00000A000000}" name="Top Diff T₀"/>
    <tableColumn id="11" xr3:uid="{00000000-0010-0000-0000-00000B000000}" name="Top Diff T₁"/>
    <tableColumn id="12" xr3:uid="{00000000-0010-0000-0000-00000C000000}" name="Top Diff T₃₀"/>
    <tableColumn id="13" xr3:uid="{00000000-0010-0000-0000-00000D000000}" name="Top Diff T₆₀"/>
    <tableColumn id="14" xr3:uid="{00000000-0010-0000-0000-00000E000000}" name="Top Diff T₉₀"/>
    <tableColumn id="15" xr3:uid="{00000000-0010-0000-0000-00000F000000}" name="Kill Gold"/>
    <tableColumn id="16" xr3:uid="{00000000-0010-0000-0000-000010000000}" name="Assist Gold"/>
    <tableColumn id="17" xr3:uid="{00000000-0010-0000-0000-000011000000}" name="Objective Gold"/>
    <tableColumn id="18" xr3:uid="{00000000-0010-0000-0000-000012000000}" name="IVG"/>
    <tableColumn id="19" xr3:uid="{00000000-0010-0000-0000-000013000000}" name="TeamSwing T₉₀"/>
    <tableColumn id="20" xr3:uid="{00000000-0010-0000-0000-000014000000}" name="TopSwing T₉₀"/>
    <tableColumn id="21" xr3:uid="{00000000-0010-0000-0000-000015000000}" name="CS Diff T₀"/>
    <tableColumn id="22" xr3:uid="{00000000-0010-0000-0000-000016000000}" name="CS Diff T₉₀"/>
    <tableColumn id="23" xr3:uid="{00000000-0010-0000-0000-000017000000}" name="Level T₀"/>
    <tableColumn id="24" xr3:uid="{00000000-0010-0000-0000-000018000000}" name="Level T₉₀"/>
    <tableColumn id="25" xr3:uid="{00000000-0010-0000-0000-000019000000}" name="Plates Lost"/>
    <tableColumn id="26" xr3:uid="{00000000-0010-0000-0000-00001A000000}" name="Teleport Used"/>
    <tableColumn id="27" xr3:uid="{00000000-0010-0000-0000-00001B000000}" name="Strategic Outcome"/>
    <tableColumn id="28" xr3:uid="{00000000-0010-0000-0000-00001C000000}" name="Class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"/>
  <sheetViews>
    <sheetView tabSelected="1" workbookViewId="0"/>
  </sheetViews>
  <sheetFormatPr defaultRowHeight="14.25"/>
  <cols>
    <col min="1" max="1" width="7" customWidth="1"/>
    <col min="2" max="2" width="28" customWidth="1"/>
    <col min="3" max="3" width="20" customWidth="1"/>
    <col min="4" max="4" width="22" customWidth="1"/>
    <col min="5" max="20" width="13" customWidth="1"/>
    <col min="21" max="25" width="11" customWidth="1"/>
    <col min="26" max="26" width="13" customWidth="1"/>
    <col min="27" max="27" width="42" customWidth="1"/>
    <col min="28" max="28" width="30" customWidth="1"/>
  </cols>
  <sheetData>
    <row r="1" spans="1:28" ht="36" customHeight="1">
      <c r="A1" s="5" t="s">
        <v>7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8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7" t="s">
        <v>0</v>
      </c>
    </row>
    <row r="2" spans="1:28" ht="25.5">
      <c r="A2" s="15">
        <v>1</v>
      </c>
      <c r="B2" s="16" t="s">
        <v>34</v>
      </c>
      <c r="C2" s="16" t="s">
        <v>35</v>
      </c>
      <c r="D2" s="16" t="s">
        <v>36</v>
      </c>
      <c r="E2" s="17">
        <v>50</v>
      </c>
      <c r="F2" s="17">
        <v>500</v>
      </c>
      <c r="G2" s="17">
        <v>620</v>
      </c>
      <c r="H2" s="17">
        <v>610</v>
      </c>
      <c r="I2" s="17">
        <v>600</v>
      </c>
      <c r="J2" s="17">
        <v>150</v>
      </c>
      <c r="K2" s="17">
        <v>300</v>
      </c>
      <c r="L2" s="17">
        <v>275</v>
      </c>
      <c r="M2" s="17">
        <v>260</v>
      </c>
      <c r="N2" s="17">
        <v>250</v>
      </c>
      <c r="O2" s="17">
        <v>300</v>
      </c>
      <c r="P2" s="17">
        <v>150</v>
      </c>
      <c r="Q2" s="17">
        <v>0</v>
      </c>
      <c r="R2" s="17">
        <f t="shared" ref="R2:R11" si="0">O2+P2+Q2</f>
        <v>450</v>
      </c>
      <c r="S2" s="17">
        <f t="shared" ref="S2:S11" si="1">I2-E2</f>
        <v>550</v>
      </c>
      <c r="T2" s="17">
        <f t="shared" ref="T2:T11" si="2">N2-J2</f>
        <v>100</v>
      </c>
      <c r="U2" s="18">
        <v>6</v>
      </c>
      <c r="V2" s="18">
        <v>8</v>
      </c>
      <c r="W2" s="16" t="s">
        <v>37</v>
      </c>
      <c r="X2" s="16" t="s">
        <v>37</v>
      </c>
      <c r="Y2" s="18">
        <v>0</v>
      </c>
      <c r="Z2" s="16" t="s">
        <v>38</v>
      </c>
      <c r="AA2" s="16" t="s">
        <v>39</v>
      </c>
      <c r="AB2" s="19" t="str">
        <f t="shared" ref="AB2:AB11" si="3">IF(AND(ABS(S2)&lt;=100,ABS(T2)&lt;=100),"Neutral or inconclusive",IF(AND(S2&gt;0,T2&gt;0),"Clear positive",IF(AND(S2&gt;0,T2&lt;0),"Team-positive, personally costly",IF(AND(S2&lt;0,T2&gt;0),"Personal gain, poor team conversion",IF(AND(R2&gt;0,S2&lt;0,T2&lt;0),"False positive",IF(AND(R2=0,S2&lt;0,T2&lt;0),"Clear negative","Neutral or inconclusive"))))))</f>
        <v>Clear positive</v>
      </c>
    </row>
    <row r="3" spans="1:28" ht="25.5">
      <c r="A3" s="8">
        <v>2</v>
      </c>
      <c r="B3" s="2" t="s">
        <v>40</v>
      </c>
      <c r="C3" s="2" t="s">
        <v>41</v>
      </c>
      <c r="D3" s="2" t="s">
        <v>42</v>
      </c>
      <c r="E3" s="3">
        <v>-150</v>
      </c>
      <c r="F3" s="3">
        <v>300</v>
      </c>
      <c r="G3" s="3">
        <v>380</v>
      </c>
      <c r="H3" s="3">
        <v>420</v>
      </c>
      <c r="I3" s="3">
        <v>450</v>
      </c>
      <c r="J3" s="3">
        <v>350</v>
      </c>
      <c r="K3" s="3">
        <v>500</v>
      </c>
      <c r="L3" s="3">
        <v>250</v>
      </c>
      <c r="M3" s="3">
        <v>100</v>
      </c>
      <c r="N3" s="3">
        <v>0</v>
      </c>
      <c r="O3" s="3">
        <v>300</v>
      </c>
      <c r="P3" s="3">
        <v>150</v>
      </c>
      <c r="Q3" s="3">
        <v>0</v>
      </c>
      <c r="R3" s="3">
        <f t="shared" si="0"/>
        <v>450</v>
      </c>
      <c r="S3" s="3">
        <f t="shared" si="1"/>
        <v>600</v>
      </c>
      <c r="T3" s="3">
        <f t="shared" si="2"/>
        <v>-350</v>
      </c>
      <c r="U3" s="4">
        <v>14</v>
      </c>
      <c r="V3" s="4">
        <v>1</v>
      </c>
      <c r="W3" s="2" t="s">
        <v>43</v>
      </c>
      <c r="X3" s="2" t="s">
        <v>37</v>
      </c>
      <c r="Y3" s="4">
        <v>1</v>
      </c>
      <c r="Z3" s="2" t="s">
        <v>38</v>
      </c>
      <c r="AA3" s="2" t="s">
        <v>44</v>
      </c>
      <c r="AB3" s="9" t="str">
        <f t="shared" si="3"/>
        <v>Team-positive, personally costly</v>
      </c>
    </row>
    <row r="4" spans="1:28" ht="25.5">
      <c r="A4" s="15">
        <v>3</v>
      </c>
      <c r="B4" s="16" t="s">
        <v>45</v>
      </c>
      <c r="C4" s="16" t="s">
        <v>46</v>
      </c>
      <c r="D4" s="16" t="s">
        <v>47</v>
      </c>
      <c r="E4" s="17">
        <v>100</v>
      </c>
      <c r="F4" s="17">
        <v>550</v>
      </c>
      <c r="G4" s="17">
        <v>200</v>
      </c>
      <c r="H4" s="17">
        <v>-50</v>
      </c>
      <c r="I4" s="17">
        <v>-200</v>
      </c>
      <c r="J4" s="17">
        <v>450</v>
      </c>
      <c r="K4" s="17">
        <v>600</v>
      </c>
      <c r="L4" s="17">
        <v>250</v>
      </c>
      <c r="M4" s="17">
        <v>0</v>
      </c>
      <c r="N4" s="17">
        <v>-150</v>
      </c>
      <c r="O4" s="17">
        <v>300</v>
      </c>
      <c r="P4" s="17">
        <v>150</v>
      </c>
      <c r="Q4" s="17">
        <v>0</v>
      </c>
      <c r="R4" s="17">
        <f t="shared" si="0"/>
        <v>450</v>
      </c>
      <c r="S4" s="17">
        <f t="shared" si="1"/>
        <v>-300</v>
      </c>
      <c r="T4" s="17">
        <f t="shared" si="2"/>
        <v>-600</v>
      </c>
      <c r="U4" s="18">
        <v>18</v>
      </c>
      <c r="V4" s="18">
        <v>2</v>
      </c>
      <c r="W4" s="16" t="s">
        <v>43</v>
      </c>
      <c r="X4" s="16" t="s">
        <v>48</v>
      </c>
      <c r="Y4" s="18">
        <v>1</v>
      </c>
      <c r="Z4" s="16" t="s">
        <v>38</v>
      </c>
      <c r="AA4" s="16" t="s">
        <v>49</v>
      </c>
      <c r="AB4" s="19" t="str">
        <f t="shared" si="3"/>
        <v>False positive</v>
      </c>
    </row>
    <row r="5" spans="1:28" ht="25.5">
      <c r="A5" s="8">
        <v>4</v>
      </c>
      <c r="B5" s="2" t="s">
        <v>50</v>
      </c>
      <c r="C5" s="2" t="s">
        <v>51</v>
      </c>
      <c r="D5" s="2" t="s">
        <v>52</v>
      </c>
      <c r="E5" s="3">
        <v>50</v>
      </c>
      <c r="F5" s="3">
        <v>50</v>
      </c>
      <c r="G5" s="3">
        <v>80</v>
      </c>
      <c r="H5" s="3">
        <v>90</v>
      </c>
      <c r="I5" s="3">
        <v>100</v>
      </c>
      <c r="J5" s="3">
        <v>-100</v>
      </c>
      <c r="K5" s="3">
        <v>-100</v>
      </c>
      <c r="L5" s="3">
        <v>-120</v>
      </c>
      <c r="M5" s="3">
        <v>-140</v>
      </c>
      <c r="N5" s="3">
        <v>-150</v>
      </c>
      <c r="O5" s="3">
        <v>0</v>
      </c>
      <c r="P5" s="3">
        <v>0</v>
      </c>
      <c r="Q5" s="3">
        <v>0</v>
      </c>
      <c r="R5" s="3">
        <f t="shared" si="0"/>
        <v>0</v>
      </c>
      <c r="S5" s="3">
        <f t="shared" si="1"/>
        <v>50</v>
      </c>
      <c r="T5" s="3">
        <f t="shared" si="2"/>
        <v>-50</v>
      </c>
      <c r="U5" s="4">
        <v>-4</v>
      </c>
      <c r="V5" s="4">
        <v>-6</v>
      </c>
      <c r="W5" s="2" t="s">
        <v>37</v>
      </c>
      <c r="X5" s="2" t="s">
        <v>37</v>
      </c>
      <c r="Y5" s="4">
        <v>0</v>
      </c>
      <c r="Z5" s="2" t="s">
        <v>38</v>
      </c>
      <c r="AA5" s="2" t="s">
        <v>53</v>
      </c>
      <c r="AB5" s="9" t="str">
        <f t="shared" si="3"/>
        <v>Neutral or inconclusive</v>
      </c>
    </row>
    <row r="6" spans="1:28" ht="25.5">
      <c r="A6" s="15">
        <v>5</v>
      </c>
      <c r="B6" s="16" t="s">
        <v>54</v>
      </c>
      <c r="C6" s="16" t="s">
        <v>55</v>
      </c>
      <c r="D6" s="16" t="s">
        <v>56</v>
      </c>
      <c r="E6" s="17">
        <v>300</v>
      </c>
      <c r="F6" s="17">
        <v>150</v>
      </c>
      <c r="G6" s="17">
        <v>0</v>
      </c>
      <c r="H6" s="17">
        <v>-100</v>
      </c>
      <c r="I6" s="17">
        <v>-150</v>
      </c>
      <c r="J6" s="17">
        <v>0</v>
      </c>
      <c r="K6" s="17">
        <v>300</v>
      </c>
      <c r="L6" s="17">
        <v>280</v>
      </c>
      <c r="M6" s="17">
        <v>260</v>
      </c>
      <c r="N6" s="17">
        <v>250</v>
      </c>
      <c r="O6" s="17">
        <v>300</v>
      </c>
      <c r="P6" s="17">
        <v>150</v>
      </c>
      <c r="Q6" s="17">
        <v>0</v>
      </c>
      <c r="R6" s="17">
        <f t="shared" si="0"/>
        <v>450</v>
      </c>
      <c r="S6" s="17">
        <f t="shared" si="1"/>
        <v>-450</v>
      </c>
      <c r="T6" s="17">
        <f t="shared" si="2"/>
        <v>250</v>
      </c>
      <c r="U6" s="18">
        <v>0</v>
      </c>
      <c r="V6" s="18">
        <v>5</v>
      </c>
      <c r="W6" s="16" t="s">
        <v>37</v>
      </c>
      <c r="X6" s="16" t="s">
        <v>43</v>
      </c>
      <c r="Y6" s="18">
        <v>0</v>
      </c>
      <c r="Z6" s="16" t="s">
        <v>38</v>
      </c>
      <c r="AA6" s="16" t="s">
        <v>57</v>
      </c>
      <c r="AB6" s="19" t="str">
        <f t="shared" si="3"/>
        <v>Personal gain, poor team conversion</v>
      </c>
    </row>
    <row r="7" spans="1:28" ht="25.5">
      <c r="A7" s="8">
        <v>6</v>
      </c>
      <c r="B7" s="2" t="s">
        <v>58</v>
      </c>
      <c r="C7" s="2" t="s">
        <v>59</v>
      </c>
      <c r="D7" s="2" t="s">
        <v>60</v>
      </c>
      <c r="E7" s="3">
        <v>0</v>
      </c>
      <c r="F7" s="3">
        <v>-300</v>
      </c>
      <c r="G7" s="3">
        <v>-450</v>
      </c>
      <c r="H7" s="3">
        <v>-550</v>
      </c>
      <c r="I7" s="3">
        <v>-600</v>
      </c>
      <c r="J7" s="3">
        <v>200</v>
      </c>
      <c r="K7" s="3">
        <v>-100</v>
      </c>
      <c r="L7" s="3">
        <v>-180</v>
      </c>
      <c r="M7" s="3">
        <v>-250</v>
      </c>
      <c r="N7" s="3">
        <v>-300</v>
      </c>
      <c r="O7" s="3">
        <v>0</v>
      </c>
      <c r="P7" s="3">
        <v>0</v>
      </c>
      <c r="Q7" s="3">
        <v>0</v>
      </c>
      <c r="R7" s="3">
        <f t="shared" si="0"/>
        <v>0</v>
      </c>
      <c r="S7" s="3">
        <f t="shared" si="1"/>
        <v>-600</v>
      </c>
      <c r="T7" s="3">
        <f t="shared" si="2"/>
        <v>-500</v>
      </c>
      <c r="U7" s="4">
        <v>7</v>
      </c>
      <c r="V7" s="4">
        <v>-8</v>
      </c>
      <c r="W7" s="2" t="s">
        <v>43</v>
      </c>
      <c r="X7" s="2" t="s">
        <v>48</v>
      </c>
      <c r="Y7" s="4">
        <v>1</v>
      </c>
      <c r="Z7" s="2" t="s">
        <v>61</v>
      </c>
      <c r="AA7" s="2" t="s">
        <v>62</v>
      </c>
      <c r="AB7" s="9" t="str">
        <f t="shared" si="3"/>
        <v>Clear negative</v>
      </c>
    </row>
    <row r="8" spans="1:28" ht="25.5">
      <c r="A8" s="15">
        <v>7</v>
      </c>
      <c r="B8" s="16" t="s">
        <v>63</v>
      </c>
      <c r="C8" s="16" t="s">
        <v>64</v>
      </c>
      <c r="D8" s="16" t="s">
        <v>65</v>
      </c>
      <c r="E8" s="17">
        <v>-400</v>
      </c>
      <c r="F8" s="17">
        <v>350</v>
      </c>
      <c r="G8" s="17">
        <v>500</v>
      </c>
      <c r="H8" s="17">
        <v>480</v>
      </c>
      <c r="I8" s="17">
        <v>450</v>
      </c>
      <c r="J8" s="17">
        <v>-150</v>
      </c>
      <c r="K8" s="17">
        <v>-50</v>
      </c>
      <c r="L8" s="17">
        <v>-250</v>
      </c>
      <c r="M8" s="17">
        <v>-400</v>
      </c>
      <c r="N8" s="17">
        <v>-500</v>
      </c>
      <c r="O8" s="17">
        <v>600</v>
      </c>
      <c r="P8" s="17">
        <v>300</v>
      </c>
      <c r="Q8" s="17">
        <v>0</v>
      </c>
      <c r="R8" s="17">
        <f t="shared" si="0"/>
        <v>900</v>
      </c>
      <c r="S8" s="17">
        <f t="shared" si="1"/>
        <v>850</v>
      </c>
      <c r="T8" s="17">
        <f t="shared" si="2"/>
        <v>-350</v>
      </c>
      <c r="U8" s="18">
        <v>-5</v>
      </c>
      <c r="V8" s="18">
        <v>-14</v>
      </c>
      <c r="W8" s="16" t="s">
        <v>37</v>
      </c>
      <c r="X8" s="16" t="s">
        <v>48</v>
      </c>
      <c r="Y8" s="18">
        <v>1</v>
      </c>
      <c r="Z8" s="16" t="s">
        <v>61</v>
      </c>
      <c r="AA8" s="16" t="s">
        <v>66</v>
      </c>
      <c r="AB8" s="19" t="str">
        <f t="shared" si="3"/>
        <v>Team-positive, personally costly</v>
      </c>
    </row>
    <row r="9" spans="1:28" ht="25.5">
      <c r="A9" s="8">
        <v>8</v>
      </c>
      <c r="B9" s="2" t="s">
        <v>67</v>
      </c>
      <c r="C9" s="2" t="s">
        <v>68</v>
      </c>
      <c r="D9" s="2" t="s">
        <v>69</v>
      </c>
      <c r="E9" s="3">
        <v>-100</v>
      </c>
      <c r="F9" s="3">
        <v>350</v>
      </c>
      <c r="G9" s="3">
        <v>400</v>
      </c>
      <c r="H9" s="3">
        <v>370</v>
      </c>
      <c r="I9" s="3">
        <v>350</v>
      </c>
      <c r="J9" s="3">
        <v>-250</v>
      </c>
      <c r="K9" s="3">
        <v>50</v>
      </c>
      <c r="L9" s="3">
        <v>40</v>
      </c>
      <c r="M9" s="3">
        <v>45</v>
      </c>
      <c r="N9" s="3">
        <v>50</v>
      </c>
      <c r="O9" s="3">
        <v>300</v>
      </c>
      <c r="P9" s="3">
        <v>150</v>
      </c>
      <c r="Q9" s="3">
        <v>0</v>
      </c>
      <c r="R9" s="3">
        <f t="shared" si="0"/>
        <v>450</v>
      </c>
      <c r="S9" s="3">
        <f t="shared" si="1"/>
        <v>450</v>
      </c>
      <c r="T9" s="3">
        <f t="shared" si="2"/>
        <v>300</v>
      </c>
      <c r="U9" s="4">
        <v>-12</v>
      </c>
      <c r="V9" s="4">
        <v>0</v>
      </c>
      <c r="W9" s="2" t="s">
        <v>48</v>
      </c>
      <c r="X9" s="2" t="s">
        <v>37</v>
      </c>
      <c r="Y9" s="4">
        <v>0</v>
      </c>
      <c r="Z9" s="2" t="s">
        <v>38</v>
      </c>
      <c r="AA9" s="2" t="s">
        <v>70</v>
      </c>
      <c r="AB9" s="9" t="str">
        <f t="shared" si="3"/>
        <v>Clear positive</v>
      </c>
    </row>
    <row r="10" spans="1:28" ht="25.5">
      <c r="A10" s="15">
        <v>9</v>
      </c>
      <c r="B10" s="16" t="s">
        <v>71</v>
      </c>
      <c r="C10" s="16" t="s">
        <v>64</v>
      </c>
      <c r="D10" s="16" t="s">
        <v>72</v>
      </c>
      <c r="E10" s="17">
        <v>250</v>
      </c>
      <c r="F10" s="17">
        <v>700</v>
      </c>
      <c r="G10" s="17">
        <v>450</v>
      </c>
      <c r="H10" s="17">
        <v>100</v>
      </c>
      <c r="I10" s="17">
        <v>-100</v>
      </c>
      <c r="J10" s="17">
        <v>300</v>
      </c>
      <c r="K10" s="17">
        <v>450</v>
      </c>
      <c r="L10" s="17">
        <v>50</v>
      </c>
      <c r="M10" s="17">
        <v>-300</v>
      </c>
      <c r="N10" s="17">
        <v>-550</v>
      </c>
      <c r="O10" s="17">
        <v>300</v>
      </c>
      <c r="P10" s="17">
        <v>150</v>
      </c>
      <c r="Q10" s="17">
        <v>0</v>
      </c>
      <c r="R10" s="17">
        <f t="shared" si="0"/>
        <v>450</v>
      </c>
      <c r="S10" s="17">
        <f t="shared" si="1"/>
        <v>-350</v>
      </c>
      <c r="T10" s="17">
        <f t="shared" si="2"/>
        <v>-850</v>
      </c>
      <c r="U10" s="18">
        <v>10</v>
      </c>
      <c r="V10" s="18">
        <v>-16</v>
      </c>
      <c r="W10" s="16" t="s">
        <v>43</v>
      </c>
      <c r="X10" s="16" t="s">
        <v>48</v>
      </c>
      <c r="Y10" s="18">
        <v>2</v>
      </c>
      <c r="Z10" s="16" t="s">
        <v>61</v>
      </c>
      <c r="AA10" s="16" t="s">
        <v>73</v>
      </c>
      <c r="AB10" s="19" t="str">
        <f t="shared" si="3"/>
        <v>False positive</v>
      </c>
    </row>
    <row r="11" spans="1:28" ht="25.5">
      <c r="A11" s="10">
        <v>10</v>
      </c>
      <c r="B11" s="11" t="s">
        <v>74</v>
      </c>
      <c r="C11" s="11" t="s">
        <v>75</v>
      </c>
      <c r="D11" s="11" t="s">
        <v>65</v>
      </c>
      <c r="E11" s="12">
        <v>0</v>
      </c>
      <c r="F11" s="12">
        <v>0</v>
      </c>
      <c r="G11" s="12">
        <v>100</v>
      </c>
      <c r="H11" s="12">
        <v>180</v>
      </c>
      <c r="I11" s="12">
        <v>250</v>
      </c>
      <c r="J11" s="12">
        <v>-50</v>
      </c>
      <c r="K11" s="12">
        <v>-50</v>
      </c>
      <c r="L11" s="12">
        <v>-20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f t="shared" si="0"/>
        <v>0</v>
      </c>
      <c r="S11" s="12">
        <f t="shared" si="1"/>
        <v>250</v>
      </c>
      <c r="T11" s="12">
        <f t="shared" si="2"/>
        <v>50</v>
      </c>
      <c r="U11" s="13">
        <v>-2</v>
      </c>
      <c r="V11" s="13">
        <v>0</v>
      </c>
      <c r="W11" s="11" t="s">
        <v>37</v>
      </c>
      <c r="X11" s="11" t="s">
        <v>37</v>
      </c>
      <c r="Y11" s="13">
        <v>0</v>
      </c>
      <c r="Z11" s="11" t="s">
        <v>38</v>
      </c>
      <c r="AA11" s="11" t="s">
        <v>76</v>
      </c>
      <c r="AB11" s="14" t="str">
        <f t="shared" si="3"/>
        <v>Clear positive</v>
      </c>
    </row>
  </sheetData>
  <conditionalFormatting sqref="S2:T11">
    <cfRule type="colorScale" priority="1">
      <colorScale>
        <cfvo type="min"/>
        <cfvo type="percentile" val="50"/>
        <cfvo type="max"/>
        <color rgb="FFF8C7C7"/>
        <color rgb="FFFFF4CC"/>
        <color rgb="FFCDECCF"/>
      </colorScale>
    </cfRule>
  </conditionalFormatting>
  <conditionalFormatting sqref="AB2:AB11">
    <cfRule type="expression" dxfId="5" priority="2">
      <formula>AB2="Clear positive"</formula>
    </cfRule>
    <cfRule type="expression" dxfId="4" priority="3">
      <formula>AB2="False positive"</formula>
    </cfRule>
    <cfRule type="expression" dxfId="3" priority="4">
      <formula>AB2="Clear negative"</formula>
    </cfRule>
    <cfRule type="expression" dxfId="2" priority="5">
      <formula>AB2="Team-positive, personally costly"</formula>
    </cfRule>
    <cfRule type="expression" dxfId="1" priority="6">
      <formula>AB2="Personal gain, poor team conversion"</formula>
    </cfRule>
    <cfRule type="expression" dxfId="0" priority="7">
      <formula>AB2="Neutral or inconclusive"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topLeftCell="A2" workbookViewId="0">
      <selection activeCell="I16" sqref="I16"/>
    </sheetView>
  </sheetViews>
  <sheetFormatPr defaultRowHeight="14.25"/>
  <cols>
    <col min="1" max="1" width="25" customWidth="1"/>
    <col min="2" max="2" width="38" customWidth="1"/>
    <col min="3" max="3" width="42" customWidth="1"/>
    <col min="4" max="4" width="9.5" customWidth="1"/>
    <col min="5" max="5" width="9.625" customWidth="1"/>
    <col min="6" max="6" width="8.125" customWidth="1"/>
  </cols>
  <sheetData>
    <row r="1" spans="1:6" ht="30" customHeight="1">
      <c r="A1" s="34" t="s">
        <v>80</v>
      </c>
      <c r="B1" s="34"/>
      <c r="C1" s="34"/>
      <c r="D1" s="34"/>
      <c r="E1" s="34"/>
      <c r="F1" s="34"/>
    </row>
    <row r="3" spans="1:6">
      <c r="A3" s="33"/>
      <c r="B3" s="33"/>
      <c r="C3" s="33"/>
      <c r="D3" s="33"/>
      <c r="E3" s="33"/>
      <c r="F3" s="33"/>
    </row>
    <row r="4" spans="1:6" ht="14.25" customHeight="1">
      <c r="A4" s="33"/>
      <c r="B4" s="33"/>
      <c r="C4" s="33"/>
      <c r="D4" s="33"/>
      <c r="E4" s="33"/>
      <c r="F4" s="33"/>
    </row>
    <row r="6" spans="1:6" ht="15">
      <c r="A6" s="21" t="s">
        <v>81</v>
      </c>
      <c r="B6" s="22" t="s">
        <v>82</v>
      </c>
      <c r="C6" s="23" t="s">
        <v>83</v>
      </c>
      <c r="E6" s="33"/>
      <c r="F6" s="33"/>
    </row>
    <row r="7" spans="1:6">
      <c r="A7" s="24" t="s">
        <v>84</v>
      </c>
      <c r="B7" s="20" t="s">
        <v>85</v>
      </c>
      <c r="C7" s="25" t="s">
        <v>86</v>
      </c>
      <c r="E7" s="24"/>
      <c r="F7" s="25"/>
    </row>
    <row r="8" spans="1:6">
      <c r="A8" s="24" t="s">
        <v>87</v>
      </c>
      <c r="B8" s="20" t="s">
        <v>88</v>
      </c>
      <c r="C8" s="25" t="s">
        <v>89</v>
      </c>
      <c r="E8" s="24"/>
      <c r="F8" s="25"/>
    </row>
    <row r="9" spans="1:6">
      <c r="A9" s="24" t="s">
        <v>77</v>
      </c>
      <c r="B9" s="20" t="s">
        <v>90</v>
      </c>
      <c r="C9" s="25" t="s">
        <v>91</v>
      </c>
      <c r="E9" s="24"/>
      <c r="F9" s="25"/>
    </row>
    <row r="10" spans="1:6">
      <c r="A10" s="24" t="s">
        <v>78</v>
      </c>
      <c r="B10" s="20" t="s">
        <v>92</v>
      </c>
      <c r="C10" s="25" t="s">
        <v>93</v>
      </c>
      <c r="E10" s="24"/>
      <c r="F10" s="25"/>
    </row>
    <row r="11" spans="1:6">
      <c r="A11" s="24" t="s">
        <v>94</v>
      </c>
      <c r="B11" s="20" t="s">
        <v>95</v>
      </c>
      <c r="C11" s="25" t="s">
        <v>96</v>
      </c>
      <c r="E11" s="24"/>
      <c r="F11" s="25"/>
    </row>
    <row r="12" spans="1:6" ht="28.5">
      <c r="A12" s="24" t="s">
        <v>8</v>
      </c>
      <c r="B12" s="20" t="s">
        <v>97</v>
      </c>
      <c r="C12" s="25" t="s">
        <v>98</v>
      </c>
      <c r="E12" s="30"/>
      <c r="F12" s="32"/>
    </row>
    <row r="13" spans="1:6" ht="28.5">
      <c r="A13" s="24" t="s">
        <v>25</v>
      </c>
      <c r="B13" s="20" t="s">
        <v>99</v>
      </c>
      <c r="C13" s="25" t="s">
        <v>100</v>
      </c>
    </row>
    <row r="14" spans="1:6" ht="28.5">
      <c r="A14" s="24" t="s">
        <v>26</v>
      </c>
      <c r="B14" s="20" t="s">
        <v>101</v>
      </c>
      <c r="C14" s="25" t="s">
        <v>102</v>
      </c>
    </row>
    <row r="15" spans="1:6">
      <c r="A15" s="26"/>
      <c r="C15" s="27"/>
    </row>
    <row r="16" spans="1:6" ht="15">
      <c r="A16" s="28" t="s">
        <v>0</v>
      </c>
      <c r="B16" s="1" t="s">
        <v>103</v>
      </c>
      <c r="C16" s="29" t="s">
        <v>79</v>
      </c>
    </row>
    <row r="17" spans="1:3">
      <c r="A17" s="24" t="s">
        <v>1</v>
      </c>
      <c r="B17" s="20" t="s">
        <v>104</v>
      </c>
      <c r="C17" s="25" t="s">
        <v>105</v>
      </c>
    </row>
    <row r="18" spans="1:3" ht="28.5">
      <c r="A18" s="24" t="s">
        <v>2</v>
      </c>
      <c r="B18" s="20" t="s">
        <v>106</v>
      </c>
      <c r="C18" s="25" t="s">
        <v>107</v>
      </c>
    </row>
    <row r="19" spans="1:3" ht="28.5">
      <c r="A19" s="24" t="s">
        <v>3</v>
      </c>
      <c r="B19" s="20" t="s">
        <v>108</v>
      </c>
      <c r="C19" s="25" t="s">
        <v>109</v>
      </c>
    </row>
    <row r="20" spans="1:3">
      <c r="A20" s="24" t="s">
        <v>4</v>
      </c>
      <c r="B20" s="20" t="s">
        <v>110</v>
      </c>
      <c r="C20" s="25" t="s">
        <v>111</v>
      </c>
    </row>
    <row r="21" spans="1:3" ht="28.5">
      <c r="A21" s="24" t="s">
        <v>5</v>
      </c>
      <c r="B21" s="20" t="s">
        <v>112</v>
      </c>
      <c r="C21" s="25" t="s">
        <v>113</v>
      </c>
    </row>
    <row r="22" spans="1:3" ht="28.5">
      <c r="A22" s="30" t="s">
        <v>6</v>
      </c>
      <c r="B22" s="31" t="s">
        <v>114</v>
      </c>
      <c r="C22" s="32" t="s">
        <v>115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Data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Splashy TheReal</cp:lastModifiedBy>
  <dcterms:modified xsi:type="dcterms:W3CDTF">2026-07-21T07:06:05Z</dcterms:modified>
</cp:coreProperties>
</file>